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Feasibility Output" sheetId="2" state="visible" r:id="rId2"/>
    <sheet xmlns:r="http://schemas.openxmlformats.org/officeDocument/2006/relationships" name="Member Entitlement" sheetId="3" state="visible" r:id="rId3"/>
    <sheet xmlns:r="http://schemas.openxmlformats.org/officeDocument/2006/relationships" name="Technical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FE2F3"/>
        <bgColor rgb="00CFE2F3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</cols>
  <sheetData>
    <row r="1">
      <c r="A1" s="1" t="inlineStr">
        <is>
          <t>Gross Plot Area (sqm)</t>
        </is>
      </c>
      <c r="B1" s="2" t="n">
        <v>1500</v>
      </c>
    </row>
    <row r="2">
      <c r="A2" s="3" t="inlineStr">
        <is>
          <t>DP Road / Setback Deduction (sqm)</t>
        </is>
      </c>
      <c r="B2" t="n">
        <v>0</v>
      </c>
    </row>
    <row r="3">
      <c r="A3" s="3" t="inlineStr">
        <is>
          <t>Net Plot Area (sqm)</t>
        </is>
      </c>
      <c r="B3">
        <f>B1-B2</f>
        <v/>
      </c>
    </row>
    <row r="4">
      <c r="A4" s="3" t="inlineStr">
        <is>
          <t>Conservative FSI</t>
        </is>
      </c>
      <c r="B4" t="n">
        <v>1.25</v>
      </c>
    </row>
    <row r="5">
      <c r="A5" s="3" t="inlineStr">
        <is>
          <t>Realistic FSI</t>
        </is>
      </c>
      <c r="B5" t="n">
        <v>1.5</v>
      </c>
    </row>
    <row r="6">
      <c r="A6" s="3" t="inlineStr">
        <is>
          <t>Maximum FSI</t>
        </is>
      </c>
      <c r="B6" t="n">
        <v>2</v>
      </c>
    </row>
    <row r="7">
      <c r="A7" s="3" t="inlineStr">
        <is>
          <t>Rehab Area (sqm)</t>
        </is>
      </c>
      <c r="B7" t="n">
        <v>1710</v>
      </c>
    </row>
    <row r="8">
      <c r="A8" s="3" t="inlineStr">
        <is>
          <t>TDR Loading (%)</t>
        </is>
      </c>
      <c r="B8" t="n">
        <v>0.25</v>
      </c>
    </row>
    <row r="9">
      <c r="A9" s="3" t="inlineStr">
        <is>
          <t>Premium FSI Rate</t>
        </is>
      </c>
      <c r="B9" t="inlineStr">
        <is>
          <t>Enter ASR Linked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8" customWidth="1" min="3" max="3"/>
    <col width="24" customWidth="1" min="4" max="4"/>
    <col width="25" customWidth="1" min="5" max="5"/>
    <col width="25" customWidth="1" min="6" max="6"/>
  </cols>
  <sheetData>
    <row r="1">
      <c r="A1" s="4" t="inlineStr">
        <is>
          <t>Scenario</t>
        </is>
      </c>
      <c r="B1" s="4" t="inlineStr">
        <is>
          <t>Formula Logic</t>
        </is>
      </c>
      <c r="C1" s="4" t="inlineStr">
        <is>
          <t>Effective FSI</t>
        </is>
      </c>
      <c r="D1" s="4" t="inlineStr">
        <is>
          <t>Buildable BUA (sqm)</t>
        </is>
      </c>
      <c r="E1" s="4" t="inlineStr">
        <is>
          <t>Buildable BUA (sqft)</t>
        </is>
      </c>
      <c r="F1" s="4" t="inlineStr">
        <is>
          <t>Sale Component (sqm)</t>
        </is>
      </c>
    </row>
    <row r="2">
      <c r="A2" t="inlineStr">
        <is>
          <t>Conservative</t>
        </is>
      </c>
      <c r="B2" t="inlineStr">
        <is>
          <t>Existing + Free Incentive</t>
        </is>
      </c>
      <c r="C2">
        <f>Inputs!B4</f>
        <v/>
      </c>
      <c r="D2">
        <f>Inputs!B3*C2</f>
        <v/>
      </c>
      <c r="E2">
        <f>D2*10.7639</f>
        <v/>
      </c>
      <c r="F2">
        <f>D2-Inputs!B7</f>
        <v/>
      </c>
    </row>
    <row r="3">
      <c r="A3" t="inlineStr">
        <is>
          <t>Realistic</t>
        </is>
      </c>
      <c r="B3" t="inlineStr">
        <is>
          <t>Existing + Incentive + Premium FSI</t>
        </is>
      </c>
      <c r="C3">
        <f>Inputs!B5</f>
        <v/>
      </c>
      <c r="D3">
        <f>Inputs!B3*C3</f>
        <v/>
      </c>
      <c r="E3">
        <f>D3*10.7639</f>
        <v/>
      </c>
      <c r="F3">
        <f>D3-Inputs!B7</f>
        <v/>
      </c>
    </row>
    <row r="4">
      <c r="A4" t="inlineStr">
        <is>
          <t>Maximum</t>
        </is>
      </c>
      <c r="B4" t="inlineStr">
        <is>
          <t>Existing + Incentive + Premium + TDR</t>
        </is>
      </c>
      <c r="C4">
        <f>Inputs!B6</f>
        <v/>
      </c>
      <c r="D4">
        <f>Inputs!B3*C4</f>
        <v/>
      </c>
      <c r="E4">
        <f>D4*10.7639</f>
        <v/>
      </c>
      <c r="F4">
        <f>D4-Inputs!B7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26" customWidth="1" min="4" max="4"/>
    <col width="24" customWidth="1" min="5" max="5"/>
    <col width="25" customWidth="1" min="6" max="6"/>
  </cols>
  <sheetData>
    <row r="1">
      <c r="A1" s="4" t="inlineStr">
        <is>
          <t>Flat Type</t>
        </is>
      </c>
      <c r="B1" s="4" t="inlineStr">
        <is>
          <t>Count</t>
        </is>
      </c>
      <c r="C1" s="4" t="inlineStr">
        <is>
          <t>Existing Carpet (sqm)</t>
        </is>
      </c>
      <c r="D1" s="4" t="inlineStr">
        <is>
          <t>Guaranteed Area (sqm)</t>
        </is>
      </c>
      <c r="E1" s="4" t="inlineStr">
        <is>
          <t>Realistic Low (sqm)</t>
        </is>
      </c>
      <c r="F1" s="4" t="inlineStr">
        <is>
          <t>Realistic High (sqm)</t>
        </is>
      </c>
    </row>
    <row r="2">
      <c r="A2" t="inlineStr">
        <is>
          <t>1BHK</t>
        </is>
      </c>
      <c r="B2" t="n">
        <v>12</v>
      </c>
      <c r="C2" t="n">
        <v>32</v>
      </c>
      <c r="D2">
        <f>C2</f>
        <v/>
      </c>
      <c r="E2">
        <f>C2*1.2</f>
        <v/>
      </c>
      <c r="F2">
        <f>C2*1.3</f>
        <v/>
      </c>
    </row>
    <row r="3">
      <c r="A3" t="inlineStr">
        <is>
          <t>2BHK</t>
        </is>
      </c>
      <c r="B3" t="n">
        <v>10</v>
      </c>
      <c r="C3" t="n">
        <v>56</v>
      </c>
      <c r="D3">
        <f>C3</f>
        <v/>
      </c>
      <c r="E3">
        <f>C3*1.2</f>
        <v/>
      </c>
      <c r="F3">
        <f>C3*1.3</f>
        <v/>
      </c>
    </row>
    <row r="4">
      <c r="A4" t="inlineStr">
        <is>
          <t>3BHK</t>
        </is>
      </c>
      <c r="B4" t="n">
        <v>2</v>
      </c>
      <c r="C4" t="n">
        <v>88</v>
      </c>
      <c r="D4">
        <f>C4</f>
        <v/>
      </c>
      <c r="E4">
        <f>C4*1.2</f>
        <v/>
      </c>
      <c r="F4">
        <f>C4*1.3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5" customWidth="1" min="3" max="3"/>
    <col width="9" customWidth="1" min="4" max="4"/>
  </cols>
  <sheetData>
    <row r="1">
      <c r="A1" s="4" t="inlineStr">
        <is>
          <t>No</t>
        </is>
      </c>
      <c r="B1" s="4" t="inlineStr">
        <is>
          <t>Item</t>
        </is>
      </c>
      <c r="C1" s="4" t="inlineStr">
        <is>
          <t>Formula / Value</t>
        </is>
      </c>
      <c r="D1" s="4" t="inlineStr">
        <is>
          <t>Unit</t>
        </is>
      </c>
    </row>
    <row r="2">
      <c r="A2" t="n">
        <v>1</v>
      </c>
      <c r="B2" t="inlineStr">
        <is>
          <t>Gross Plot Area</t>
        </is>
      </c>
      <c r="C2">
        <f>Inputs!B1</f>
        <v/>
      </c>
      <c r="D2" t="inlineStr">
        <is>
          <t>sqm</t>
        </is>
      </c>
    </row>
    <row r="3">
      <c r="A3" t="n">
        <v>2</v>
      </c>
      <c r="B3" t="inlineStr">
        <is>
          <t>Less: DP Road/Setback</t>
        </is>
      </c>
      <c r="C3">
        <f>Inputs!B2</f>
        <v/>
      </c>
      <c r="D3" t="inlineStr">
        <is>
          <t>sqm</t>
        </is>
      </c>
    </row>
    <row r="4">
      <c r="A4" t="n">
        <v>3</v>
      </c>
      <c r="B4" t="inlineStr">
        <is>
          <t>Net Plot Area</t>
        </is>
      </c>
      <c r="C4">
        <f>Inputs!B3</f>
        <v/>
      </c>
      <c r="D4" t="inlineStr">
        <is>
          <t>sqm</t>
        </is>
      </c>
    </row>
    <row r="5">
      <c r="A5" t="n">
        <v>4</v>
      </c>
      <c r="B5" t="inlineStr">
        <is>
          <t>Conservative BUA</t>
        </is>
      </c>
      <c r="C5">
        <f>Inputs!B3*Inputs!B4</f>
        <v/>
      </c>
      <c r="D5" t="inlineStr">
        <is>
          <t>sqm</t>
        </is>
      </c>
    </row>
    <row r="6">
      <c r="A6" t="n">
        <v>5</v>
      </c>
      <c r="B6" t="inlineStr">
        <is>
          <t>Realistic BUA</t>
        </is>
      </c>
      <c r="C6">
        <f>Inputs!B3*Inputs!B5</f>
        <v/>
      </c>
      <c r="D6" t="inlineStr">
        <is>
          <t>sqm</t>
        </is>
      </c>
    </row>
    <row r="7">
      <c r="A7" t="n">
        <v>6</v>
      </c>
      <c r="B7" t="inlineStr">
        <is>
          <t>Maximum BUA</t>
        </is>
      </c>
      <c r="C7">
        <f>Inputs!B3*Inputs!B6</f>
        <v/>
      </c>
      <c r="D7" t="inlineStr">
        <is>
          <t>sqm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2026-05-09T16:05:25Z</dcterms:created>
  <dcterms:modified xmlns:dcterms="http://purl.org/dc/terms/" xmlns:xsi="http://www.w3.org/2001/XMLSchema-instance" xsi:type="dcterms:W3CDTF">2026-05-09T16:05:25Z</dcterms:modified>
</cp:coreProperties>
</file>